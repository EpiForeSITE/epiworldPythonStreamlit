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hua/Downloads/epiworldPythonStreamlit-main/"/>
    </mc:Choice>
  </mc:AlternateContent>
  <xr:revisionPtr revIDLastSave="0" documentId="13_ncr:1_{BE9A093E-3645-B946-9F18-CBA5932E4ECC}" xr6:coauthVersionLast="47" xr6:coauthVersionMax="47" xr10:uidLastSave="{00000000-0000-0000-0000-000000000000}"/>
  <bookViews>
    <workbookView xWindow="13320" yWindow="1760" windowWidth="17940" windowHeight="16240" xr2:uid="{C3C2AB24-B1FA-8D4F-BA45-ADBEB48D1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9" i="1" a="1"/>
  <c r="B9" i="1" l="1"/>
  <c r="B5" i="1"/>
  <c r="G14" i="1"/>
  <c r="B7" i="1" s="1"/>
  <c r="C4" i="1"/>
  <c r="C9" i="1" a="1"/>
  <c r="C9" i="1" l="1"/>
  <c r="G6" i="1"/>
  <c r="B8" i="1" s="1"/>
  <c r="B10" i="1" s="1"/>
  <c r="C5" i="1"/>
  <c r="C8" i="1" l="1"/>
  <c r="C7" i="1"/>
  <c r="C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<sst xmlns="http://schemas.openxmlformats.org/spreadsheetml/2006/main" count="56" uniqueCount="45">
  <si>
    <t>Value</t>
  </si>
  <si>
    <t>Source</t>
  </si>
  <si>
    <t>Number of secondary infections</t>
  </si>
  <si>
    <t>Direct medical cost of a day of isolation</t>
  </si>
  <si>
    <t>KFF</t>
  </si>
  <si>
    <t>US BLS</t>
  </si>
  <si>
    <t>Probability of transitioning from latent to active TB</t>
  </si>
  <si>
    <t>First 2 years</t>
  </si>
  <si>
    <t>https://www.cdc.gov/tb/hcp/clinical-overview/tuberculosis-disease.html</t>
  </si>
  <si>
    <t>Number of contacts for each released TB case</t>
  </si>
  <si>
    <t>Pike (2020)</t>
  </si>
  <si>
    <t>Notes</t>
  </si>
  <si>
    <t>The Pike article is for measles</t>
  </si>
  <si>
    <t>Probability that contact develops latent TB if 14-day isolation</t>
  </si>
  <si>
    <t>Multiplier for infectiousness with 5-day vs. 14-day isolation</t>
  </si>
  <si>
    <t>Assumption</t>
  </si>
  <si>
    <t>Could be higher</t>
  </si>
  <si>
    <t>Rest of lifetime if don’t become active in 1st 2 years</t>
  </si>
  <si>
    <t>Costs</t>
  </si>
  <si>
    <t>Total</t>
  </si>
  <si>
    <t>Latent</t>
  </si>
  <si>
    <t>Active</t>
  </si>
  <si>
    <t>14-day isolation</t>
  </si>
  <si>
    <t>5-day isolation</t>
  </si>
  <si>
    <t>Cost of motel room per day</t>
  </si>
  <si>
    <t>Direct cost of isolation</t>
  </si>
  <si>
    <t>Cost of secondary infections</t>
  </si>
  <si>
    <t>Isolation cost</t>
  </si>
  <si>
    <t>Isolation type</t>
  </si>
  <si>
    <t>Ratio of workdays to total days</t>
  </si>
  <si>
    <t>Lost productivity for index case</t>
  </si>
  <si>
    <t>Hourly wage for worker</t>
  </si>
  <si>
    <t>Cost of latent TB infection</t>
  </si>
  <si>
    <t>Cost of active TB infection</t>
  </si>
  <si>
    <t>https://pmc.ncbi.nlm.nih.gov/articles/PMC11149049/</t>
  </si>
  <si>
    <t>Discount rate</t>
  </si>
  <si>
    <t>Remaining years of life</t>
  </si>
  <si>
    <t>Outcome</t>
  </si>
  <si>
    <t>CDC</t>
  </si>
  <si>
    <t>Asay (2025)</t>
  </si>
  <si>
    <t>Hourly wage for public health worker</t>
  </si>
  <si>
    <t>=1 if in hospital, =2 if in motel, =3 if in home</t>
  </si>
  <si>
    <t>Hourly wage for nurse</t>
  </si>
  <si>
    <t>Time for nurse to check in w/ pt in motel or home (hrs)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</si>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</sst>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"/>
    <numFmt numFmtId="166" formatCode="&quot;$&quot;#,##0.00"/>
    <numFmt numFmtId="167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1" xfId="0" applyFont="1" applyFill="1" applyBorder="1"/>
    <xf numFmtId="0" fontId="2" fillId="3" borderId="3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left" indent="2"/>
    </xf>
    <xf numFmtId="2" fontId="0" fillId="2" borderId="0" xfId="0" applyNumberFormat="1" applyFill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4" xfId="0" applyFill="1" applyBorder="1"/>
    <xf numFmtId="165" fontId="0" fillId="2" borderId="0" xfId="0" applyNumberFormat="1" applyFill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2" borderId="6" xfId="0" applyFill="1" applyBorder="1" applyAlignment="1">
      <alignment horizontal="left" indent="2"/>
    </xf>
    <xf numFmtId="165" fontId="0" fillId="2" borderId="8" xfId="0" applyNumberFormat="1" applyFill="1" applyBorder="1" applyAlignment="1">
      <alignment horizontal="center"/>
    </xf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0" fillId="2" borderId="5" xfId="0" applyFill="1" applyBorder="1"/>
    <xf numFmtId="0" fontId="0" fillId="2" borderId="5" xfId="0" quotePrefix="1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2" borderId="10" xfId="0" applyFill="1" applyBorder="1"/>
    <xf numFmtId="0" fontId="0" fillId="2" borderId="10" xfId="0" applyFill="1" applyBorder="1" applyAlignment="1">
      <alignment horizontal="left" indent="2"/>
    </xf>
    <xf numFmtId="0" fontId="0" fillId="2" borderId="11" xfId="0" applyFill="1" applyBorder="1"/>
    <xf numFmtId="0" fontId="1" fillId="2" borderId="0" xfId="0" applyFon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/>
    <xf numFmtId="3" fontId="0" fillId="2" borderId="0" xfId="0" applyNumberFormat="1" applyFill="1" applyAlignment="1">
      <alignment horizontal="center"/>
    </xf>
    <xf numFmtId="0" fontId="2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478C-8E94-7142-981B-2144C89899F0}">
  <dimension ref="A2:I27"/>
  <sheetViews>
    <sheetView tabSelected="1" zoomScale="75" zoomScaleNormal="130" workbookViewId="0">
      <selection activeCell="F7" sqref="F7"/>
    </sheetView>
  </sheetViews>
  <sheetFormatPr baseColWidth="10" defaultRowHeight="16" x14ac:dyDescent="0.2"/>
  <cols>
    <col min="1" max="1" width="28.83203125" style="1" customWidth="1"/>
    <col min="2" max="2" width="14.33203125" style="2" customWidth="1"/>
    <col min="3" max="3" width="13.5" style="2" customWidth="1"/>
    <col min="4" max="4" width="5.5" style="1" customWidth="1"/>
    <col min="5" max="5" width="12.1640625" style="1" customWidth="1"/>
    <col min="6" max="6" width="55.6640625" style="2" customWidth="1"/>
    <col min="7" max="7" width="12.5" style="1" customWidth="1"/>
    <col min="8" max="8" width="51.1640625" style="1" customWidth="1"/>
    <col min="9" max="16384" width="10.83203125" style="1"/>
  </cols>
  <sheetData>
    <row r="2" spans="1:9" x14ac:dyDescent="0.2">
      <c r="A2" s="3" t="s">
        <v>37</v>
      </c>
      <c r="B2" s="18" t="s">
        <v>22</v>
      </c>
      <c r="C2" s="4" t="s">
        <v>23</v>
      </c>
      <c r="F2" s="3" t="s">
        <v>44</v>
      </c>
      <c r="G2" s="41" t="s">
        <v>0</v>
      </c>
      <c r="H2" s="25" t="s">
        <v>1</v>
      </c>
      <c r="I2" s="26" t="s">
        <v>11</v>
      </c>
    </row>
    <row r="3" spans="1:9" x14ac:dyDescent="0.2">
      <c r="A3" s="15" t="s">
        <v>2</v>
      </c>
      <c r="B3" s="19"/>
      <c r="C3" s="16"/>
      <c r="F3" s="30" t="s">
        <v>9</v>
      </c>
      <c r="G3" s="35">
        <v>141.5</v>
      </c>
      <c r="H3" s="30" t="s">
        <v>10</v>
      </c>
      <c r="I3" s="39" t="s">
        <v>12</v>
      </c>
    </row>
    <row r="4" spans="1:9" x14ac:dyDescent="0.2">
      <c r="A4" s="6" t="s">
        <v>20</v>
      </c>
      <c r="B4" s="20">
        <f>G3*G4</f>
        <v>2.83</v>
      </c>
      <c r="C4" s="8">
        <f>B4*G5</f>
        <v>4.2450000000000001</v>
      </c>
      <c r="F4" s="31" t="s">
        <v>13</v>
      </c>
      <c r="G4" s="35">
        <v>0.02</v>
      </c>
      <c r="H4" s="31" t="s">
        <v>15</v>
      </c>
      <c r="I4" s="27"/>
    </row>
    <row r="5" spans="1:9" x14ac:dyDescent="0.2">
      <c r="A5" s="13" t="s">
        <v>21</v>
      </c>
      <c r="B5" s="21">
        <f>B4*$G$8+B4*(1-$G$8)*$G$9</f>
        <v>0.27592499999999998</v>
      </c>
      <c r="C5" s="17">
        <f>C4*$G$8+C4*(1-$G$8)*$G$9</f>
        <v>0.41388750000000007</v>
      </c>
      <c r="F5" s="32" t="s">
        <v>14</v>
      </c>
      <c r="G5" s="2">
        <v>1.5</v>
      </c>
      <c r="H5" s="32" t="s">
        <v>15</v>
      </c>
      <c r="I5" s="27" t="s">
        <v>16</v>
      </c>
    </row>
    <row r="6" spans="1:9" x14ac:dyDescent="0.2">
      <c r="A6" s="9" t="s">
        <v>18</v>
      </c>
      <c r="B6" s="22"/>
      <c r="C6" s="5"/>
      <c r="F6" s="32" t="s">
        <v>29</v>
      </c>
      <c r="G6" s="36">
        <f>5/7</f>
        <v>0.7142857142857143</v>
      </c>
      <c r="H6" s="32"/>
      <c r="I6" s="27"/>
    </row>
    <row r="7" spans="1:9" x14ac:dyDescent="0.2">
      <c r="A7" s="6" t="s">
        <v>25</v>
      </c>
      <c r="B7" s="23">
        <f>G14*14</f>
        <v>1187.76</v>
      </c>
      <c r="C7" s="11">
        <f>G14*5</f>
        <v>424.20000000000005</v>
      </c>
      <c r="F7" s="32" t="s">
        <v>6</v>
      </c>
      <c r="G7" s="2"/>
      <c r="H7" s="32"/>
      <c r="I7" s="28"/>
    </row>
    <row r="8" spans="1:9" x14ac:dyDescent="0.2">
      <c r="A8" s="6" t="s">
        <v>30</v>
      </c>
      <c r="B8" s="23">
        <f>14*G6*G17*8</f>
        <v>2348.8000000000002</v>
      </c>
      <c r="C8" s="11">
        <f>5*G6*G17*8</f>
        <v>838.85714285714289</v>
      </c>
      <c r="F8" s="33" t="s">
        <v>7</v>
      </c>
      <c r="G8" s="7">
        <v>0.05</v>
      </c>
      <c r="H8" s="32" t="s">
        <v>38</v>
      </c>
      <c r="I8" s="32" t="s">
        <v>8</v>
      </c>
    </row>
    <row r="9" spans="1:9" x14ac:dyDescent="0.2">
      <c r="A9" s="6" t="s">
        <v>26</v>
      </c>
      <c r="B9" s="23" cm="1">
        <f t="array" aca="1" ref="B9" ca="1">B4*(G11+G12*(((G8/2)/(1+G21)^1)+((G8/2)/(1+G21)^2)+SUMPRODUCT((G9/G22)/(1+G21)^(ROW(INDIRECT("3:"&amp;G22))))))</f>
        <v>8111.8654625954414</v>
      </c>
      <c r="C9" s="11" cm="1">
        <f t="array" aca="1" ref="C9" ca="1">C4*(G11+G12*(((G8/2)/(1+G21)^1)+((G8/2)/(1+G21)^2)+SUMPRODUCT((G9/G22)/(1+G21)^(ROW(INDIRECT("3:"&amp;G22))))))</f>
        <v>12167.798193893163</v>
      </c>
      <c r="F9" s="33" t="s">
        <v>17</v>
      </c>
      <c r="G9" s="7">
        <v>0.05</v>
      </c>
      <c r="H9" s="32" t="s">
        <v>38</v>
      </c>
      <c r="I9" s="32" t="s">
        <v>8</v>
      </c>
    </row>
    <row r="10" spans="1:9" x14ac:dyDescent="0.2">
      <c r="A10" s="13" t="s">
        <v>19</v>
      </c>
      <c r="B10" s="24">
        <f ca="1">SUM(B7:B9)</f>
        <v>11648.425462595442</v>
      </c>
      <c r="C10" s="14">
        <f ca="1">SUM(C7:C9)</f>
        <v>13430.855336750305</v>
      </c>
      <c r="F10" s="32" t="s">
        <v>18</v>
      </c>
      <c r="G10" s="2"/>
      <c r="H10" s="32"/>
    </row>
    <row r="11" spans="1:9" x14ac:dyDescent="0.2">
      <c r="F11" s="33" t="s">
        <v>32</v>
      </c>
      <c r="G11" s="10">
        <v>300</v>
      </c>
      <c r="H11" s="32" t="s">
        <v>39</v>
      </c>
      <c r="I11" s="32" t="s">
        <v>34</v>
      </c>
    </row>
    <row r="12" spans="1:9" x14ac:dyDescent="0.2">
      <c r="F12" s="33" t="s">
        <v>33</v>
      </c>
      <c r="G12" s="10">
        <v>34523</v>
      </c>
      <c r="H12" s="32" t="s">
        <v>39</v>
      </c>
      <c r="I12" s="32" t="s">
        <v>34</v>
      </c>
    </row>
    <row r="13" spans="1:9" x14ac:dyDescent="0.2">
      <c r="F13" s="33" t="s">
        <v>28</v>
      </c>
      <c r="G13" s="2">
        <v>3</v>
      </c>
      <c r="H13" s="32"/>
      <c r="I13" s="28" t="s">
        <v>41</v>
      </c>
    </row>
    <row r="14" spans="1:9" x14ac:dyDescent="0.2">
      <c r="F14" s="33" t="s">
        <v>27</v>
      </c>
      <c r="G14" s="10">
        <f>IF(G13=1,G15,IF(G13=2,G16+G18*G19,G18*G19))</f>
        <v>84.84</v>
      </c>
      <c r="H14" s="32"/>
      <c r="I14" s="27"/>
    </row>
    <row r="15" spans="1:9" x14ac:dyDescent="0.2">
      <c r="F15" s="33" t="s">
        <v>3</v>
      </c>
      <c r="G15" s="10">
        <v>3996</v>
      </c>
      <c r="H15" s="32" t="s">
        <v>4</v>
      </c>
      <c r="I15" s="27"/>
    </row>
    <row r="16" spans="1:9" x14ac:dyDescent="0.2">
      <c r="F16" s="33" t="s">
        <v>24</v>
      </c>
      <c r="G16" s="37">
        <v>150</v>
      </c>
      <c r="H16" s="32" t="s">
        <v>15</v>
      </c>
      <c r="I16" s="27"/>
    </row>
    <row r="17" spans="6:9" x14ac:dyDescent="0.2">
      <c r="F17" s="33" t="s">
        <v>31</v>
      </c>
      <c r="G17" s="12">
        <v>29.36</v>
      </c>
      <c r="H17" s="32" t="s">
        <v>5</v>
      </c>
      <c r="I17" s="27"/>
    </row>
    <row r="18" spans="6:9" x14ac:dyDescent="0.2">
      <c r="F18" s="33" t="s">
        <v>42</v>
      </c>
      <c r="G18" s="12">
        <v>42.42</v>
      </c>
      <c r="H18" s="32" t="s">
        <v>5</v>
      </c>
    </row>
    <row r="19" spans="6:9" x14ac:dyDescent="0.2">
      <c r="F19" s="33" t="s">
        <v>43</v>
      </c>
      <c r="G19" s="40">
        <v>2</v>
      </c>
      <c r="H19" s="32"/>
    </row>
    <row r="20" spans="6:9" x14ac:dyDescent="0.2">
      <c r="F20" s="33" t="s">
        <v>40</v>
      </c>
      <c r="G20" s="12">
        <v>40</v>
      </c>
      <c r="H20" s="32" t="s">
        <v>15</v>
      </c>
      <c r="I20" s="27"/>
    </row>
    <row r="21" spans="6:9" x14ac:dyDescent="0.2">
      <c r="F21" s="32" t="s">
        <v>35</v>
      </c>
      <c r="G21" s="2">
        <v>0.03</v>
      </c>
      <c r="H21" s="32" t="s">
        <v>15</v>
      </c>
      <c r="I21" s="27"/>
    </row>
    <row r="22" spans="6:9" x14ac:dyDescent="0.2">
      <c r="F22" s="34" t="s">
        <v>36</v>
      </c>
      <c r="G22" s="38">
        <v>40</v>
      </c>
      <c r="H22" s="34" t="s">
        <v>15</v>
      </c>
      <c r="I22" s="29"/>
    </row>
    <row r="23" spans="6:9" x14ac:dyDescent="0.2">
      <c r="F23" s="1"/>
    </row>
    <row r="24" spans="6:9" x14ac:dyDescent="0.2">
      <c r="F24" s="1"/>
    </row>
    <row r="25" spans="6:9" x14ac:dyDescent="0.2">
      <c r="F25" s="1"/>
    </row>
    <row r="26" spans="6:9" x14ac:dyDescent="0.2">
      <c r="F26" s="1"/>
    </row>
    <row r="27" spans="6:9" x14ac:dyDescent="0.2">
      <c r="F27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Nelson</dc:creator>
  <cp:lastModifiedBy>1650113738@qq.com</cp:lastModifiedBy>
  <dcterms:created xsi:type="dcterms:W3CDTF">2025-08-12T15:22:20Z</dcterms:created>
  <dcterms:modified xsi:type="dcterms:W3CDTF">2025-12-27T04:15:45Z</dcterms:modified>
</cp:coreProperties>
</file>
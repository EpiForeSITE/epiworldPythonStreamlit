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hua/Downloads/epiworldPythonStreamlit-main/"/>
    </mc:Choice>
  </mc:AlternateContent>
  <xr:revisionPtr revIDLastSave="0" documentId="13_ncr:1_{6C4886E2-B35C-2B49-8A7E-369B584864DD}" xr6:coauthVersionLast="47" xr6:coauthVersionMax="47" xr10:uidLastSave="{00000000-0000-0000-0000-000000000000}"/>
  <bookViews>
    <workbookView xWindow="7160" yWindow="500" windowWidth="21640" windowHeight="16260" xr2:uid="{BB626EF3-4DF1-DC4B-941E-A31759CB1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5" i="1"/>
  <c r="B5" i="1"/>
  <c r="C4" i="1"/>
  <c r="B4" i="1"/>
  <c r="D5" i="1" l="1"/>
  <c r="D6" i="1"/>
  <c r="C6" i="1"/>
  <c r="D4" i="1"/>
  <c r="B7" i="1" l="1"/>
  <c r="C7" i="1"/>
  <c r="D7" i="1"/>
</calcChain>
</file>

<file path=xl/sharedStrings.xml><?xml version="1.0" encoding="utf-8"?>
<sst xmlns="http://schemas.openxmlformats.org/spreadsheetml/2006/main" count="29" uniqueCount="25">
  <si>
    <t>Number of cases</t>
  </si>
  <si>
    <t>Lost productivity</t>
  </si>
  <si>
    <t>Hospitalization</t>
  </si>
  <si>
    <t>Value</t>
  </si>
  <si>
    <t>Cost of measles hospitalization</t>
  </si>
  <si>
    <t>Proportion of cases hospitalized</t>
  </si>
  <si>
    <t>Proportion of quarantine days that would be a missed day of work</t>
  </si>
  <si>
    <t>Hourly wage for worker</t>
  </si>
  <si>
    <t>Hours of contact tracing per contact</t>
  </si>
  <si>
    <t>Number of contacts per case</t>
  </si>
  <si>
    <t>Vaccination rate in community</t>
  </si>
  <si>
    <t>Contact tracing</t>
  </si>
  <si>
    <t>Total</t>
  </si>
  <si>
    <t>Length of quarantine (days)</t>
  </si>
  <si>
    <t>Hourly wage for contract tracer</t>
  </si>
  <si>
    <r>
      <t xml:space="preserve">Table 2: </t>
    </r>
    <r>
      <rPr>
        <sz val="12"/>
        <color theme="1"/>
        <rFont val="Aptos Narrow"/>
        <scheme val="minor"/>
      </rPr>
      <t>Input parameter assumptions</t>
    </r>
  </si>
  <si>
    <t>Parameter</t>
  </si>
  <si>
    <r>
      <t xml:space="preserve">Table 1: </t>
    </r>
    <r>
      <rPr>
        <sz val="12"/>
        <color theme="1"/>
        <rFont val="Aptos Narrow"/>
        <scheme val="minor"/>
      </rPr>
      <t>Results for cost of measles outbreaks of different sizes</t>
    </r>
  </si>
  <si>
    <t>Cost type</t>
  </si>
  <si>
    <t>Source</t>
  </si>
  <si>
    <t>Bangs (2022)</t>
  </si>
  <si>
    <t>Assumption</t>
  </si>
  <si>
    <t>US BLS</t>
  </si>
  <si>
    <t>Fields (2021)</t>
  </si>
  <si>
    <t>Pike (2020)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</si>
</sst>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u/>
      <sz val="12"/>
      <color theme="0"/>
      <name val="Aptos Narrow"/>
      <scheme val="minor"/>
    </font>
    <font>
      <u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2" borderId="0" xfId="0" applyFont="1" applyFill="1"/>
    <xf numFmtId="164" fontId="0" fillId="2" borderId="1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/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 applyAlignment="1">
      <alignment horizontal="center"/>
    </xf>
    <xf numFmtId="0" fontId="0" fillId="2" borderId="13" xfId="0" applyFill="1" applyBorder="1"/>
    <xf numFmtId="0" fontId="4" fillId="3" borderId="14" xfId="0" applyFont="1" applyFill="1" applyBorder="1"/>
    <xf numFmtId="0" fontId="3" fillId="3" borderId="17" xfId="0" applyFont="1" applyFill="1" applyBorder="1"/>
    <xf numFmtId="0" fontId="3" fillId="3" borderId="18" xfId="0" applyFont="1" applyFill="1" applyBorder="1" applyAlignment="1">
      <alignment horizontal="center"/>
    </xf>
    <xf numFmtId="0" fontId="0" fillId="2" borderId="19" xfId="0" applyFill="1" applyBorder="1"/>
    <xf numFmtId="164" fontId="0" fillId="2" borderId="20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21" xfId="0" applyNumberFormat="1" applyFill="1" applyBorder="1" applyAlignment="1">
      <alignment horizontal="center"/>
    </xf>
    <xf numFmtId="0" fontId="0" fillId="2" borderId="22" xfId="0" applyFill="1" applyBorder="1"/>
    <xf numFmtId="164" fontId="0" fillId="2" borderId="23" xfId="0" applyNumberFormat="1" applyFill="1" applyBorder="1" applyAlignment="1">
      <alignment horizontal="center"/>
    </xf>
    <xf numFmtId="164" fontId="0" fillId="2" borderId="24" xfId="0" applyNumberFormat="1" applyFill="1" applyBorder="1" applyAlignment="1">
      <alignment horizontal="center"/>
    </xf>
    <xf numFmtId="164" fontId="0" fillId="2" borderId="25" xfId="0" applyNumberForma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33E6D-24E4-E848-A4DB-5EF4DA880735}">
  <dimension ref="A1:H12"/>
  <sheetViews>
    <sheetView tabSelected="1" zoomScale="125" zoomScaleNormal="180" workbookViewId="0">
      <selection activeCell="G3" sqref="G3"/>
    </sheetView>
  </sheetViews>
  <sheetFormatPr baseColWidth="10" defaultRowHeight="16" x14ac:dyDescent="0.2"/>
  <cols>
    <col min="1" max="1" width="19" style="1" customWidth="1"/>
    <col min="2" max="3" width="11" style="1" bestFit="1" customWidth="1"/>
    <col min="4" max="4" width="12" style="1" customWidth="1"/>
    <col min="5" max="5" width="4.83203125" style="1" customWidth="1"/>
    <col min="6" max="6" width="53.1640625" style="1" customWidth="1"/>
    <col min="7" max="7" width="9.5" style="6" customWidth="1"/>
    <col min="8" max="8" width="12.83203125" style="1" customWidth="1"/>
    <col min="9" max="16384" width="10.83203125" style="1"/>
  </cols>
  <sheetData>
    <row r="1" spans="1:8" ht="17" thickBot="1" x14ac:dyDescent="0.25">
      <c r="A1" s="2" t="s">
        <v>17</v>
      </c>
      <c r="F1" s="2" t="s">
        <v>15</v>
      </c>
    </row>
    <row r="2" spans="1:8" x14ac:dyDescent="0.2">
      <c r="A2" s="19"/>
      <c r="B2" s="30" t="s">
        <v>0</v>
      </c>
      <c r="C2" s="31"/>
      <c r="D2" s="32"/>
      <c r="F2" s="11" t="s">
        <v>16</v>
      </c>
      <c r="G2" s="12" t="s">
        <v>3</v>
      </c>
      <c r="H2" s="13" t="s">
        <v>19</v>
      </c>
    </row>
    <row r="3" spans="1:8" x14ac:dyDescent="0.2">
      <c r="A3" s="20" t="s">
        <v>18</v>
      </c>
      <c r="B3" s="10">
        <v>22</v>
      </c>
      <c r="C3" s="10">
        <v>100</v>
      </c>
      <c r="D3" s="21">
        <v>803</v>
      </c>
      <c r="F3" s="14" t="s">
        <v>4</v>
      </c>
      <c r="G3" s="7">
        <v>31168</v>
      </c>
      <c r="H3" s="15" t="s">
        <v>20</v>
      </c>
    </row>
    <row r="4" spans="1:8" x14ac:dyDescent="0.2">
      <c r="A4" s="22" t="s">
        <v>2</v>
      </c>
      <c r="B4" s="3">
        <f>B3*$G$4*$G$3</f>
        <v>137139.20000000001</v>
      </c>
      <c r="C4" s="4">
        <f>C3*$G$4*$G$3</f>
        <v>623360</v>
      </c>
      <c r="D4" s="23">
        <f>D3*$G$4*$G$3</f>
        <v>5005580.8000000007</v>
      </c>
      <c r="F4" s="14" t="s">
        <v>5</v>
      </c>
      <c r="G4" s="8">
        <v>0.2</v>
      </c>
      <c r="H4" s="15" t="s">
        <v>20</v>
      </c>
    </row>
    <row r="5" spans="1:8" x14ac:dyDescent="0.2">
      <c r="A5" s="22" t="s">
        <v>1</v>
      </c>
      <c r="B5" s="5">
        <f>B3*$G$9*(1-$G$10)*$G$11*$G$5*$G$6</f>
        <v>191935.12799999997</v>
      </c>
      <c r="C5" s="24">
        <f>C3*$G$9*(1-$G$10)*$G$11*$G$5*$G$6</f>
        <v>872432.39999999991</v>
      </c>
      <c r="D5" s="25">
        <f>D3*$G$9*(1-$G$10)*$G$11*$G$5*$G$6</f>
        <v>7005632.1719999984</v>
      </c>
      <c r="F5" s="14" t="s">
        <v>6</v>
      </c>
      <c r="G5" s="8">
        <v>0.5</v>
      </c>
      <c r="H5" s="15" t="s">
        <v>21</v>
      </c>
    </row>
    <row r="6" spans="1:8" x14ac:dyDescent="0.2">
      <c r="A6" s="22" t="s">
        <v>11</v>
      </c>
      <c r="B6" s="5">
        <f>B3*$G$9*$G$8*$G$7</f>
        <v>103600.64</v>
      </c>
      <c r="C6" s="24">
        <f>C3*$G$9*$G$8*$G$7</f>
        <v>470912</v>
      </c>
      <c r="D6" s="25">
        <f>D3*$G$9*$G$8*$G$7</f>
        <v>3781423.3600000003</v>
      </c>
      <c r="F6" s="14" t="s">
        <v>7</v>
      </c>
      <c r="G6" s="9">
        <v>29.36</v>
      </c>
      <c r="H6" s="15" t="s">
        <v>22</v>
      </c>
    </row>
    <row r="7" spans="1:8" ht="17" thickBot="1" x14ac:dyDescent="0.25">
      <c r="A7" s="26" t="s">
        <v>12</v>
      </c>
      <c r="B7" s="27">
        <f>SUM(B4:B6)</f>
        <v>432674.96799999999</v>
      </c>
      <c r="C7" s="28">
        <f>SUM(C4:C6)</f>
        <v>1966704.4</v>
      </c>
      <c r="D7" s="29">
        <f>SUM(D4:D6)</f>
        <v>15792636.331999999</v>
      </c>
      <c r="F7" s="14" t="s">
        <v>14</v>
      </c>
      <c r="G7" s="9">
        <v>40</v>
      </c>
      <c r="H7" s="15" t="s">
        <v>21</v>
      </c>
    </row>
    <row r="8" spans="1:8" x14ac:dyDescent="0.2">
      <c r="F8" s="14" t="s">
        <v>8</v>
      </c>
      <c r="G8" s="8">
        <v>0.83199999999999996</v>
      </c>
      <c r="H8" s="15" t="s">
        <v>23</v>
      </c>
    </row>
    <row r="9" spans="1:8" x14ac:dyDescent="0.2">
      <c r="F9" s="14" t="s">
        <v>9</v>
      </c>
      <c r="G9" s="8">
        <v>141.5</v>
      </c>
      <c r="H9" s="15" t="s">
        <v>24</v>
      </c>
    </row>
    <row r="10" spans="1:8" x14ac:dyDescent="0.2">
      <c r="F10" s="14" t="s">
        <v>10</v>
      </c>
      <c r="G10" s="8">
        <v>0.8</v>
      </c>
      <c r="H10" s="15" t="s">
        <v>21</v>
      </c>
    </row>
    <row r="11" spans="1:8" ht="17" thickBot="1" x14ac:dyDescent="0.25">
      <c r="F11" s="16" t="s">
        <v>13</v>
      </c>
      <c r="G11" s="17">
        <v>21</v>
      </c>
      <c r="H11" s="18" t="s">
        <v>21</v>
      </c>
    </row>
    <row r="12" spans="1:8" x14ac:dyDescent="0.2">
      <c r="G12" s="1"/>
    </row>
  </sheetData>
  <mergeCells count="1">
    <mergeCell ref="B2:D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Nelson</dc:creator>
  <cp:lastModifiedBy>1650113738@qq.com</cp:lastModifiedBy>
  <dcterms:created xsi:type="dcterms:W3CDTF">2025-07-31T17:16:19Z</dcterms:created>
  <dcterms:modified xsi:type="dcterms:W3CDTF">2025-12-15T16:36:15Z</dcterms:modified>
</cp:coreProperties>
</file>